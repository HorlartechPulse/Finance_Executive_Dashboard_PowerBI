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orlarTech_Pulse\Desktop\Data Analytics\Finance_Executive_Dashboard_PowerBI\dashboard\"/>
    </mc:Choice>
  </mc:AlternateContent>
  <xr:revisionPtr revIDLastSave="0" documentId="13_ncr:1_{99A625B7-9817-4389-BC7B-C9B6AD3E9816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Executive_Dashboard" sheetId="1" r:id="rId1"/>
    <sheet name="ChartData" sheetId="2" state="hidden" r:id="rId2"/>
    <sheet name="Income_Statement" sheetId="3" r:id="rId3"/>
    <sheet name="Monthly_Trends" sheetId="4" r:id="rId4"/>
    <sheet name="Regional_Dept" sheetId="5" r:id="rId5"/>
    <sheet name="Findings" sheetId="6" r:id="rId6"/>
  </sheets>
  <calcPr calcId="0"/>
</workbook>
</file>

<file path=xl/sharedStrings.xml><?xml version="1.0" encoding="utf-8"?>
<sst xmlns="http://schemas.openxmlformats.org/spreadsheetml/2006/main" count="183" uniqueCount="118">
  <si>
    <t xml:space="preserve">  Finance Executive Dashboard — Business Performance Overview</t>
  </si>
  <si>
    <t>Actual scenario · Full sample period · Values in USD · Star-schema source (DimDate / DimAccount / DimScenario / FactFinancials)</t>
  </si>
  <si>
    <t>KEY PERFORMANCE INDICATORS</t>
  </si>
  <si>
    <t>Revenue</t>
  </si>
  <si>
    <t>COGS</t>
  </si>
  <si>
    <t>Gross Profit</t>
  </si>
  <si>
    <t>Net Profit</t>
  </si>
  <si>
    <t>$3.88M</t>
  </si>
  <si>
    <t>$2.21M</t>
  </si>
  <si>
    <t>$1.66M</t>
  </si>
  <si>
    <t>$-412.7K</t>
  </si>
  <si>
    <t>▲ +154.9% vs bench · Benchmark $1.52M</t>
  </si>
  <si>
    <t>▲ +108.8% vs bench · Benchmark $1.06M</t>
  </si>
  <si>
    <t>▲ +261.2% vs bench · Margin 42.9%</t>
  </si>
  <si>
    <t>▼ -17.9% vs bench · Margin -10.6%</t>
  </si>
  <si>
    <t>MARGIN &amp; RATIO GAUGES</t>
  </si>
  <si>
    <t>Gross Profit Margin</t>
  </si>
  <si>
    <t>OPEX Ratio</t>
  </si>
  <si>
    <t>Net Profit Margin</t>
  </si>
  <si>
    <t>Revenue vs Bench</t>
  </si>
  <si>
    <t>Target 40% · On track</t>
  </si>
  <si>
    <t>Target 25% · Watch</t>
  </si>
  <si>
    <t>Target 15% · Below target</t>
  </si>
  <si>
    <t>Target 0% · On track</t>
  </si>
  <si>
    <t>INCOME STATEMENT (Actual vs Budget)</t>
  </si>
  <si>
    <t>BALANCE SHEET SNAPSHOT (latest month)</t>
  </si>
  <si>
    <t>Account</t>
  </si>
  <si>
    <t>Actual</t>
  </si>
  <si>
    <t>Budget</t>
  </si>
  <si>
    <t>Variance</t>
  </si>
  <si>
    <t>Var %</t>
  </si>
  <si>
    <t>Amount</t>
  </si>
  <si>
    <t>Cash &amp; Bank Balances</t>
  </si>
  <si>
    <t>Account Receivables</t>
  </si>
  <si>
    <t>Inventory</t>
  </si>
  <si>
    <t>Operating Expenses</t>
  </si>
  <si>
    <t>Current Assets</t>
  </si>
  <si>
    <t>Total Assets</t>
  </si>
  <si>
    <t>Account Payables</t>
  </si>
  <si>
    <t>Current Liabilities</t>
  </si>
  <si>
    <t>SMART INSIGHTS &amp; RECOMMENDATIONS</t>
  </si>
  <si>
    <t>Total Liabilities</t>
  </si>
  <si>
    <t>1. Revenue of $3.88M is +154.9% vs benchmark $1.52M — top-line demand is strong.</t>
  </si>
  <si>
    <t>2. Gross margin is 42.9% (target ~40%). Maintaining healthy product profitability.</t>
  </si>
  <si>
    <t>3. OPEX ratio is 53.6% of revenue (target ~25%). Operating cost control is the priority lever.</t>
  </si>
  <si>
    <t>4. Net profit is $-0.41M (margin -10.6%). Focus on OPEX efficiency to convert gross profit to net.</t>
  </si>
  <si>
    <t>5. Top region by revenue: East ($1.16M). Top department: Sales.</t>
  </si>
  <si>
    <t>6. Action: set monthly OPEX ceiling by department; protect gross margin; reallocate spend toward highest-revenue region.</t>
  </si>
  <si>
    <t>MonthYear</t>
  </si>
  <si>
    <t>GP Margin</t>
  </si>
  <si>
    <t>OPEX</t>
  </si>
  <si>
    <t>Region</t>
  </si>
  <si>
    <t>Department</t>
  </si>
  <si>
    <t>Mar 2021</t>
  </si>
  <si>
    <t>East</t>
  </si>
  <si>
    <t>Sales</t>
  </si>
  <si>
    <t>Apr 2021</t>
  </si>
  <si>
    <t>North</t>
  </si>
  <si>
    <t>HQ</t>
  </si>
  <si>
    <t>May 2021</t>
  </si>
  <si>
    <t>West</t>
  </si>
  <si>
    <t>Operations</t>
  </si>
  <si>
    <t>Jun 2021</t>
  </si>
  <si>
    <t>South</t>
  </si>
  <si>
    <t>Finance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</si>
  <si>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</si>
  <si>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</si>
  <si>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</si>
  <si>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</si>
  <si>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</si>
  <si>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</si>
  <si>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</si>
  <si>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</si>
  <si>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</si>
  <si>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</si>
  <si>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</si>
  <si>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</si>
  <si>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</si>
  <si>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</si>
  <si>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</si>
  <si>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</si>
  <si>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</si>
  <si>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</si>
  <si>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</si>
  <si>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</si>
  <si>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Income Statement — Actual vs Budget</t>
  </si>
  <si>
    <t>Monthly P&amp;L Trends</t>
  </si>
  <si>
    <t>YearMonth</t>
  </si>
  <si>
    <t>NP Margin</t>
  </si>
  <si>
    <t>Revenue by Region &amp; Department</t>
  </si>
  <si>
    <t>% of Total</t>
  </si>
  <si>
    <t>Walkthrough &amp; Business Findings</t>
  </si>
  <si>
    <t>DATA PIPELINE</t>
  </si>
  <si>
    <t>• Source: Finance_Source_Data.xlsx (DimDate, DimAccount, DimScenario, FactFinancials)</t>
  </si>
  <si>
    <t>• Model: Star schema — fact grain is Date × Account × Scenario × Region × Department</t>
  </si>
  <si>
    <t>• Measures: Revenue, COGS, Gross Profit, Net Profit, margins, OPEX ratio (DAX equivalents applied here)</t>
  </si>
  <si>
    <t>KPI RESULTS (Actual, full sample window)</t>
  </si>
  <si>
    <t>• Revenue: $3,875,000 (+154.9% vs benchmark)</t>
  </si>
  <si>
    <t>• COGS: $2,213,519</t>
  </si>
  <si>
    <t>• Gross Profit: $1,661,481 | Gross Margin: 42.9%</t>
  </si>
  <si>
    <t>• Operating Expenses: $2,075,141 | OPEX Ratio: 53.6%</t>
  </si>
  <si>
    <t>• Net Profit: $-412,676 | Net Margin: -10.6%</t>
  </si>
  <si>
    <t>FINDINGS</t>
  </si>
  <si>
    <t>1. Top-line revenue beats the reference benchmark — commercial momentum is positive.</t>
  </si>
  <si>
    <t>2. Gross margin near ~43% is solid; protect pricing and supplier costs.</t>
  </si>
  <si>
    <t>3. OPEX is elevated vs a 25% target ratio; this is the main drag on net profit.</t>
  </si>
  <si>
    <t>4. Net profit is under pressure — conversion from gross to net needs cost discipline.</t>
  </si>
  <si>
    <t>5. Geographic leader: East; Department leader: Sales.</t>
  </si>
  <si>
    <t>RECOMMENDATIONS</t>
  </si>
  <si>
    <t>• Freeze non-critical OPEX and review Marketing/Facilities/Wages lines monthly.</t>
  </si>
  <si>
    <t>• Maintain gross-margin floor at 40% with SKU-level monitoring.</t>
  </si>
  <si>
    <t>• Double-down commercial effort in the top region while improving underperforming regions.</t>
  </si>
  <si>
    <t>• In Power BI: add Actual vs Budget slicer and MTD/YTD bookmarks for exec meetings.</t>
  </si>
  <si>
    <t>POWER BI REBUILD</t>
  </si>
  <si>
    <t>1. Get Data → data/Finance_Source_Data.xlsx</t>
  </si>
  <si>
    <t>2. Relationships on DateKey, AccountKey, ScenarioKey; mark DimDate</t>
  </si>
  <si>
    <t>3. Paste measures from dax/measures.dax</t>
  </si>
  <si>
    <t>4. Recreate visuals using docs/02_Dashboard_Layout.md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</si>
</sst>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&quot;$&quot;#,##0"/>
    <numFmt numFmtId="166" formatCode="\+0.0%;\-0.0%"/>
    <numFmt numFmtId="167" formatCode="&quot;$&quot;#,##0.00"/>
    <numFmt numFmtId="168" formatCode="\+0.00%;\-0.00%"/>
  </numFmts>
  <fonts count="18" x14ac:knownFonts="1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i/>
      <sz val="9"/>
      <color rgb="FF868E96"/>
      <name val="Segoe UI"/>
    </font>
    <font>
      <b/>
      <sz val="12"/>
      <color rgb="FF1B2A4A"/>
      <name val="Segoe UI"/>
    </font>
    <font>
      <sz val="10"/>
      <color rgb="FF868E96"/>
      <name val="Segoe UI"/>
    </font>
    <font>
      <b/>
      <sz val="22"/>
      <color rgb="FF1B2A4A"/>
      <name val="Segoe UI"/>
    </font>
    <font>
      <b/>
      <sz val="10"/>
      <color rgb="FF12B886"/>
      <name val="Segoe UI"/>
    </font>
    <font>
      <b/>
      <sz val="10"/>
      <color rgb="FFE03131"/>
      <name val="Segoe UI"/>
    </font>
    <font>
      <b/>
      <sz val="20"/>
      <color rgb="FF1B2A4A"/>
      <name val="Segoe UI"/>
    </font>
    <font>
      <sz val="9"/>
      <color rgb="FF868E96"/>
      <name val="Calibri"/>
    </font>
    <font>
      <b/>
      <sz val="11"/>
      <color rgb="FFFFFFFF"/>
      <name val="Segoe UI"/>
    </font>
    <font>
      <sz val="11"/>
      <name val="Segoe UI"/>
    </font>
    <font>
      <b/>
      <sz val="11"/>
      <name val="Segoe UI"/>
    </font>
    <font>
      <b/>
      <sz val="11"/>
      <color rgb="FFFFFFFF"/>
      <name val="Calibri"/>
    </font>
    <font>
      <sz val="10"/>
      <color rgb="FF1B2A4A"/>
      <name val="Segoe UI"/>
    </font>
    <font>
      <b/>
      <sz val="16"/>
      <color rgb="FF1B2A4A"/>
      <name val="Calibri"/>
    </font>
    <font>
      <sz val="11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6F7F5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0" fillId="0" borderId="1" xfId="0" applyBorder="1"/>
    <xf numFmtId="0" fontId="10" fillId="2" borderId="0" xfId="0" applyFont="1" applyFill="1"/>
    <xf numFmtId="0" fontId="13" fillId="2" borderId="0" xfId="0" applyFont="1" applyFill="1"/>
    <xf numFmtId="0" fontId="11" fillId="0" borderId="1" xfId="0" applyFont="1" applyBorder="1"/>
    <xf numFmtId="165" fontId="0" fillId="0" borderId="1" xfId="0" applyNumberFormat="1" applyBorder="1"/>
    <xf numFmtId="166" fontId="7" fillId="0" borderId="1" xfId="0" applyNumberFormat="1" applyFont="1" applyBorder="1"/>
    <xf numFmtId="0" fontId="12" fillId="0" borderId="1" xfId="0" applyFont="1" applyBorder="1"/>
    <xf numFmtId="166" fontId="6" fillId="0" borderId="1" xfId="0" applyNumberFormat="1" applyFont="1" applyBorder="1"/>
    <xf numFmtId="0" fontId="15" fillId="0" borderId="0" xfId="0" applyFont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0" fontId="17" fillId="0" borderId="0" xfId="0" applyFont="1"/>
    <xf numFmtId="164" fontId="8" fillId="4" borderId="1" xfId="0" applyNumberFormat="1" applyFont="1" applyFill="1" applyBorder="1"/>
    <xf numFmtId="0" fontId="0" fillId="0" borderId="1" xfId="0" applyBorder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5" fillId="4" borderId="1" xfId="0" applyFont="1" applyFill="1" applyBorder="1"/>
    <xf numFmtId="0" fontId="0" fillId="4" borderId="1" xfId="0" applyFill="1" applyBorder="1"/>
    <xf numFmtId="0" fontId="14" fillId="0" borderId="0" xfId="0" applyFont="1"/>
    <xf numFmtId="0" fontId="0" fillId="0" borderId="0" xfId="0"/>
    <xf numFmtId="0" fontId="7" fillId="0" borderId="0" xfId="0" applyFont="1"/>
    <xf numFmtId="0" fontId="4" fillId="5" borderId="0" xfId="0" applyFont="1" applyFill="1"/>
    <xf numFmtId="0" fontId="0" fillId="5" borderId="0" xfId="0" applyFill="1"/>
    <xf numFmtId="0" fontId="4" fillId="3" borderId="0" xfId="0" applyFont="1" applyFill="1"/>
    <xf numFmtId="0" fontId="0" fillId="3" borderId="0" xfId="0" applyFill="1"/>
    <xf numFmtId="0" fontId="9" fillId="0" borderId="0" xfId="0" applyFont="1"/>
    <xf numFmtId="0" fontId="6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vs COGS by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ChartData!$A$2:$A$25</c:f>
              <c:strCache>
                <c:ptCount val="24"/>
                <c:pt idx="0">
                  <c:v>Mar 2021</c:v>
                </c:pt>
                <c:pt idx="1">
                  <c:v>Apr 2021</c:v>
                </c:pt>
                <c:pt idx="2">
                  <c:v>May 2021</c:v>
                </c:pt>
                <c:pt idx="3">
                  <c:v>Jun 2021</c:v>
                </c:pt>
                <c:pt idx="4">
                  <c:v>Jul 2021</c:v>
                </c:pt>
                <c:pt idx="5">
                  <c:v>Aug 2021</c:v>
                </c:pt>
                <c:pt idx="6">
                  <c:v>Sep 2021</c:v>
                </c:pt>
                <c:pt idx="7">
                  <c:v>Oct 2021</c:v>
                </c:pt>
                <c:pt idx="8">
                  <c:v>Nov 2021</c:v>
                </c:pt>
                <c:pt idx="9">
                  <c:v>Dec 2021</c:v>
                </c:pt>
                <c:pt idx="10">
                  <c:v>Jan 2022</c:v>
                </c:pt>
                <c:pt idx="11">
                  <c:v>Feb 2022</c:v>
                </c:pt>
                <c:pt idx="12">
                  <c:v>Mar 2022</c:v>
                </c:pt>
                <c:pt idx="13">
                  <c:v>Apr 2022</c:v>
                </c:pt>
                <c:pt idx="14">
                  <c:v>May 2022</c:v>
                </c:pt>
                <c:pt idx="15">
                  <c:v>Jun 2022</c:v>
                </c:pt>
                <c:pt idx="16">
                  <c:v>Jul 2022</c:v>
                </c:pt>
                <c:pt idx="17">
                  <c:v>Aug 2022</c:v>
                </c:pt>
                <c:pt idx="18">
                  <c:v>Sep 2022</c:v>
                </c:pt>
                <c:pt idx="19">
                  <c:v>Oct 2022</c:v>
                </c:pt>
                <c:pt idx="20">
                  <c:v>Nov 2022</c:v>
                </c:pt>
                <c:pt idx="21">
                  <c:v>Dec 2022</c:v>
                </c:pt>
                <c:pt idx="22">
                  <c:v>Jan 2023</c:v>
                </c:pt>
                <c:pt idx="23">
                  <c:v>Feb 2023</c:v>
                </c:pt>
              </c:strCache>
            </c:strRef>
          </c:cat>
          <c:val>
            <c:numRef>
              <c:f>ChartData!$B$2:$B$25</c:f>
              <c:numCache>
                <c:formatCode>General</c:formatCode>
                <c:ptCount val="24"/>
                <c:pt idx="0">
                  <c:v>121897.77</c:v>
                </c:pt>
                <c:pt idx="1">
                  <c:v>143220.66</c:v>
                </c:pt>
                <c:pt idx="2">
                  <c:v>140051.42000000001</c:v>
                </c:pt>
                <c:pt idx="3">
                  <c:v>149219.81</c:v>
                </c:pt>
                <c:pt idx="4">
                  <c:v>144251.48000000001</c:v>
                </c:pt>
                <c:pt idx="5">
                  <c:v>144112.14000000001</c:v>
                </c:pt>
                <c:pt idx="6">
                  <c:v>152891.47</c:v>
                </c:pt>
                <c:pt idx="7">
                  <c:v>152958.92000000001</c:v>
                </c:pt>
                <c:pt idx="8">
                  <c:v>171822.65</c:v>
                </c:pt>
                <c:pt idx="9">
                  <c:v>178908.63</c:v>
                </c:pt>
                <c:pt idx="10">
                  <c:v>174774.97</c:v>
                </c:pt>
                <c:pt idx="11">
                  <c:v>135982.10999999999</c:v>
                </c:pt>
                <c:pt idx="12">
                  <c:v>142235.13</c:v>
                </c:pt>
                <c:pt idx="13">
                  <c:v>163382.43</c:v>
                </c:pt>
                <c:pt idx="14">
                  <c:v>164651.95000000001</c:v>
                </c:pt>
                <c:pt idx="15">
                  <c:v>170097.14</c:v>
                </c:pt>
                <c:pt idx="16">
                  <c:v>164750.93</c:v>
                </c:pt>
                <c:pt idx="17">
                  <c:v>171133.67</c:v>
                </c:pt>
                <c:pt idx="18">
                  <c:v>170063.74</c:v>
                </c:pt>
                <c:pt idx="19">
                  <c:v>175003.35</c:v>
                </c:pt>
                <c:pt idx="20">
                  <c:v>194253.23</c:v>
                </c:pt>
                <c:pt idx="21">
                  <c:v>194984.28</c:v>
                </c:pt>
                <c:pt idx="22">
                  <c:v>197273.59</c:v>
                </c:pt>
                <c:pt idx="23">
                  <c:v>157079.03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2-4FD3-9B81-AE392F0F0C83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COGS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ChartData!$A$2:$A$25</c:f>
              <c:strCache>
                <c:ptCount val="24"/>
                <c:pt idx="0">
                  <c:v>Mar 2021</c:v>
                </c:pt>
                <c:pt idx="1">
                  <c:v>Apr 2021</c:v>
                </c:pt>
                <c:pt idx="2">
                  <c:v>May 2021</c:v>
                </c:pt>
                <c:pt idx="3">
                  <c:v>Jun 2021</c:v>
                </c:pt>
                <c:pt idx="4">
                  <c:v>Jul 2021</c:v>
                </c:pt>
                <c:pt idx="5">
                  <c:v>Aug 2021</c:v>
                </c:pt>
                <c:pt idx="6">
                  <c:v>Sep 2021</c:v>
                </c:pt>
                <c:pt idx="7">
                  <c:v>Oct 2021</c:v>
                </c:pt>
                <c:pt idx="8">
                  <c:v>Nov 2021</c:v>
                </c:pt>
                <c:pt idx="9">
                  <c:v>Dec 2021</c:v>
                </c:pt>
                <c:pt idx="10">
                  <c:v>Jan 2022</c:v>
                </c:pt>
                <c:pt idx="11">
                  <c:v>Feb 2022</c:v>
                </c:pt>
                <c:pt idx="12">
                  <c:v>Mar 2022</c:v>
                </c:pt>
                <c:pt idx="13">
                  <c:v>Apr 2022</c:v>
                </c:pt>
                <c:pt idx="14">
                  <c:v>May 2022</c:v>
                </c:pt>
                <c:pt idx="15">
                  <c:v>Jun 2022</c:v>
                </c:pt>
                <c:pt idx="16">
                  <c:v>Jul 2022</c:v>
                </c:pt>
                <c:pt idx="17">
                  <c:v>Aug 2022</c:v>
                </c:pt>
                <c:pt idx="18">
                  <c:v>Sep 2022</c:v>
                </c:pt>
                <c:pt idx="19">
                  <c:v>Oct 2022</c:v>
                </c:pt>
                <c:pt idx="20">
                  <c:v>Nov 2022</c:v>
                </c:pt>
                <c:pt idx="21">
                  <c:v>Dec 2022</c:v>
                </c:pt>
                <c:pt idx="22">
                  <c:v>Jan 2023</c:v>
                </c:pt>
                <c:pt idx="23">
                  <c:v>Feb 2023</c:v>
                </c:pt>
              </c:strCache>
            </c:strRef>
          </c:cat>
          <c:val>
            <c:numRef>
              <c:f>ChartData!$C$2:$C$25</c:f>
              <c:numCache>
                <c:formatCode>General</c:formatCode>
                <c:ptCount val="24"/>
                <c:pt idx="0">
                  <c:v>69366.039999999994</c:v>
                </c:pt>
                <c:pt idx="1">
                  <c:v>84033.07</c:v>
                </c:pt>
                <c:pt idx="2">
                  <c:v>82530.080000000002</c:v>
                </c:pt>
                <c:pt idx="3">
                  <c:v>89447.74</c:v>
                </c:pt>
                <c:pt idx="4">
                  <c:v>89024.83</c:v>
                </c:pt>
                <c:pt idx="5">
                  <c:v>85075.05</c:v>
                </c:pt>
                <c:pt idx="6">
                  <c:v>86897.16</c:v>
                </c:pt>
                <c:pt idx="7">
                  <c:v>88222.74</c:v>
                </c:pt>
                <c:pt idx="8">
                  <c:v>98489</c:v>
                </c:pt>
                <c:pt idx="9">
                  <c:v>103179.51</c:v>
                </c:pt>
                <c:pt idx="10">
                  <c:v>107156.35</c:v>
                </c:pt>
                <c:pt idx="11">
                  <c:v>76936.69</c:v>
                </c:pt>
                <c:pt idx="12">
                  <c:v>83046.3</c:v>
                </c:pt>
                <c:pt idx="13">
                  <c:v>91080.31</c:v>
                </c:pt>
                <c:pt idx="14">
                  <c:v>96585.64</c:v>
                </c:pt>
                <c:pt idx="15">
                  <c:v>97514.21</c:v>
                </c:pt>
                <c:pt idx="16">
                  <c:v>88585.42</c:v>
                </c:pt>
                <c:pt idx="17">
                  <c:v>98388.23</c:v>
                </c:pt>
                <c:pt idx="18">
                  <c:v>90664.46</c:v>
                </c:pt>
                <c:pt idx="19">
                  <c:v>96672.67</c:v>
                </c:pt>
                <c:pt idx="20">
                  <c:v>105351.25</c:v>
                </c:pt>
                <c:pt idx="21">
                  <c:v>102589.1</c:v>
                </c:pt>
                <c:pt idx="22">
                  <c:v>111546.11</c:v>
                </c:pt>
                <c:pt idx="23">
                  <c:v>91137.18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2-4FD3-9B81-AE392F0F0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Gross Profit Margin % by Month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ChartData!$F$1</c:f>
              <c:strCache>
                <c:ptCount val="1"/>
                <c:pt idx="0">
                  <c:v>GP Margin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ChartData!$A$2:$A$25</c:f>
              <c:strCache>
                <c:ptCount val="24"/>
                <c:pt idx="0">
                  <c:v>Mar 2021</c:v>
                </c:pt>
                <c:pt idx="1">
                  <c:v>Apr 2021</c:v>
                </c:pt>
                <c:pt idx="2">
                  <c:v>May 2021</c:v>
                </c:pt>
                <c:pt idx="3">
                  <c:v>Jun 2021</c:v>
                </c:pt>
                <c:pt idx="4">
                  <c:v>Jul 2021</c:v>
                </c:pt>
                <c:pt idx="5">
                  <c:v>Aug 2021</c:v>
                </c:pt>
                <c:pt idx="6">
                  <c:v>Sep 2021</c:v>
                </c:pt>
                <c:pt idx="7">
                  <c:v>Oct 2021</c:v>
                </c:pt>
                <c:pt idx="8">
                  <c:v>Nov 2021</c:v>
                </c:pt>
                <c:pt idx="9">
                  <c:v>Dec 2021</c:v>
                </c:pt>
                <c:pt idx="10">
                  <c:v>Jan 2022</c:v>
                </c:pt>
                <c:pt idx="11">
                  <c:v>Feb 2022</c:v>
                </c:pt>
                <c:pt idx="12">
                  <c:v>Mar 2022</c:v>
                </c:pt>
                <c:pt idx="13">
                  <c:v>Apr 2022</c:v>
                </c:pt>
                <c:pt idx="14">
                  <c:v>May 2022</c:v>
                </c:pt>
                <c:pt idx="15">
                  <c:v>Jun 2022</c:v>
                </c:pt>
                <c:pt idx="16">
                  <c:v>Jul 2022</c:v>
                </c:pt>
                <c:pt idx="17">
                  <c:v>Aug 2022</c:v>
                </c:pt>
                <c:pt idx="18">
                  <c:v>Sep 2022</c:v>
                </c:pt>
                <c:pt idx="19">
                  <c:v>Oct 2022</c:v>
                </c:pt>
                <c:pt idx="20">
                  <c:v>Nov 2022</c:v>
                </c:pt>
                <c:pt idx="21">
                  <c:v>Dec 2022</c:v>
                </c:pt>
                <c:pt idx="22">
                  <c:v>Jan 2023</c:v>
                </c:pt>
                <c:pt idx="23">
                  <c:v>Feb 2023</c:v>
                </c:pt>
              </c:strCache>
            </c:strRef>
          </c:cat>
          <c:val>
            <c:numRef>
              <c:f>ChartData!$F$2:$F$25</c:f>
              <c:numCache>
                <c:formatCode>General</c:formatCode>
                <c:ptCount val="24"/>
                <c:pt idx="0">
                  <c:v>0.43094906494187712</c:v>
                </c:pt>
                <c:pt idx="1">
                  <c:v>0.41326153642917163</c:v>
                </c:pt>
                <c:pt idx="2">
                  <c:v>0.4107159356185035</c:v>
                </c:pt>
                <c:pt idx="3">
                  <c:v>0.40056390636069028</c:v>
                </c:pt>
                <c:pt idx="4">
                  <c:v>0.38284972882080648</c:v>
                </c:pt>
                <c:pt idx="5">
                  <c:v>0.40966076834331933</c:v>
                </c:pt>
                <c:pt idx="6">
                  <c:v>0.43164154285389489</c:v>
                </c:pt>
                <c:pt idx="7">
                  <c:v>0.42322592235876139</c:v>
                </c:pt>
                <c:pt idx="8">
                  <c:v>0.42679850415530202</c:v>
                </c:pt>
                <c:pt idx="9">
                  <c:v>0.42328377339874551</c:v>
                </c:pt>
                <c:pt idx="10">
                  <c:v>0.38688966732478908</c:v>
                </c:pt>
                <c:pt idx="11">
                  <c:v>0.43421461837884412</c:v>
                </c:pt>
                <c:pt idx="12">
                  <c:v>0.4161336935537655</c:v>
                </c:pt>
                <c:pt idx="13">
                  <c:v>0.44253301900332859</c:v>
                </c:pt>
                <c:pt idx="14">
                  <c:v>0.41339516477029281</c:v>
                </c:pt>
                <c:pt idx="15">
                  <c:v>0.42671452324242481</c:v>
                </c:pt>
                <c:pt idx="16">
                  <c:v>0.46230701095283649</c:v>
                </c:pt>
                <c:pt idx="17">
                  <c:v>0.42507958837089149</c:v>
                </c:pt>
                <c:pt idx="18">
                  <c:v>0.46687953587284392</c:v>
                </c:pt>
                <c:pt idx="19">
                  <c:v>0.44759526031930241</c:v>
                </c:pt>
                <c:pt idx="20">
                  <c:v>0.45766024070745182</c:v>
                </c:pt>
                <c:pt idx="21">
                  <c:v>0.4738596362742678</c:v>
                </c:pt>
                <c:pt idx="22">
                  <c:v>0.43456136221782138</c:v>
                </c:pt>
                <c:pt idx="23">
                  <c:v>0.41980046604565868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F5-419A-A2E5-F665244C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ChartData!$J$1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ChartData!$I$2:$I$5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ChartData!$J$2:$J$5</c:f>
              <c:numCache>
                <c:formatCode>General</c:formatCode>
                <c:ptCount val="4"/>
                <c:pt idx="0">
                  <c:v>1157392.49</c:v>
                </c:pt>
                <c:pt idx="1">
                  <c:v>1135098.8500000001</c:v>
                </c:pt>
                <c:pt idx="2">
                  <c:v>821505.3</c:v>
                </c:pt>
                <c:pt idx="3">
                  <c:v>761003.86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D-46F6-A6DA-F206603C2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ChartData!$M$1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ChartData!$L$2:$L$5</c:f>
              <c:strCache>
                <c:ptCount val="4"/>
                <c:pt idx="0">
                  <c:v>Sales</c:v>
                </c:pt>
                <c:pt idx="1">
                  <c:v>HQ</c:v>
                </c:pt>
                <c:pt idx="2">
                  <c:v>Operations</c:v>
                </c:pt>
                <c:pt idx="3">
                  <c:v>Finance</c:v>
                </c:pt>
              </c:strCache>
            </c:strRef>
          </c:cat>
          <c:val>
            <c:numRef>
              <c:f>ChartData!$M$2:$M$5</c:f>
              <c:numCache>
                <c:formatCode>General</c:formatCode>
                <c:ptCount val="4"/>
                <c:pt idx="0">
                  <c:v>1073220.93</c:v>
                </c:pt>
                <c:pt idx="1">
                  <c:v>1062876.6000000001</c:v>
                </c:pt>
                <c:pt idx="2">
                  <c:v>1025546.19</c:v>
                </c:pt>
                <c:pt idx="3">
                  <c:v>713356.78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D-4785-BA5D-0DB949F4A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&amp; Gross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Monthly_Trends!$C$3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Monthly_Trends!$B$4:$B$27</c:f>
              <c:strCache>
                <c:ptCount val="24"/>
                <c:pt idx="0">
                  <c:v>Mar 2021</c:v>
                </c:pt>
                <c:pt idx="1">
                  <c:v>Apr 2021</c:v>
                </c:pt>
                <c:pt idx="2">
                  <c:v>May 2021</c:v>
                </c:pt>
                <c:pt idx="3">
                  <c:v>Jun 2021</c:v>
                </c:pt>
                <c:pt idx="4">
                  <c:v>Jul 2021</c:v>
                </c:pt>
                <c:pt idx="5">
                  <c:v>Aug 2021</c:v>
                </c:pt>
                <c:pt idx="6">
                  <c:v>Sep 2021</c:v>
                </c:pt>
                <c:pt idx="7">
                  <c:v>Oct 2021</c:v>
                </c:pt>
                <c:pt idx="8">
                  <c:v>Nov 2021</c:v>
                </c:pt>
                <c:pt idx="9">
                  <c:v>Dec 2021</c:v>
                </c:pt>
                <c:pt idx="10">
                  <c:v>Jan 2022</c:v>
                </c:pt>
                <c:pt idx="11">
                  <c:v>Feb 2022</c:v>
                </c:pt>
                <c:pt idx="12">
                  <c:v>Mar 2022</c:v>
                </c:pt>
                <c:pt idx="13">
                  <c:v>Apr 2022</c:v>
                </c:pt>
                <c:pt idx="14">
                  <c:v>May 2022</c:v>
                </c:pt>
                <c:pt idx="15">
                  <c:v>Jun 2022</c:v>
                </c:pt>
                <c:pt idx="16">
                  <c:v>Jul 2022</c:v>
                </c:pt>
                <c:pt idx="17">
                  <c:v>Aug 2022</c:v>
                </c:pt>
                <c:pt idx="18">
                  <c:v>Sep 2022</c:v>
                </c:pt>
                <c:pt idx="19">
                  <c:v>Oct 2022</c:v>
                </c:pt>
                <c:pt idx="20">
                  <c:v>Nov 2022</c:v>
                </c:pt>
                <c:pt idx="21">
                  <c:v>Dec 2022</c:v>
                </c:pt>
                <c:pt idx="22">
                  <c:v>Jan 2023</c:v>
                </c:pt>
                <c:pt idx="23">
                  <c:v>Feb 2023</c:v>
                </c:pt>
              </c:strCache>
            </c:strRef>
          </c:cat>
          <c:val>
            <c:numRef>
              <c:f>Monthly_Trends!$C$4:$C$27</c:f>
              <c:numCache>
                <c:formatCode>#,##0</c:formatCode>
                <c:ptCount val="24"/>
                <c:pt idx="0">
                  <c:v>121897.77</c:v>
                </c:pt>
                <c:pt idx="1">
                  <c:v>143220.66</c:v>
                </c:pt>
                <c:pt idx="2">
                  <c:v>140051.42000000001</c:v>
                </c:pt>
                <c:pt idx="3">
                  <c:v>149219.81</c:v>
                </c:pt>
                <c:pt idx="4">
                  <c:v>144251.48000000001</c:v>
                </c:pt>
                <c:pt idx="5">
                  <c:v>144112.14000000001</c:v>
                </c:pt>
                <c:pt idx="6">
                  <c:v>152891.47</c:v>
                </c:pt>
                <c:pt idx="7">
                  <c:v>152958.92000000001</c:v>
                </c:pt>
                <c:pt idx="8">
                  <c:v>171822.65</c:v>
                </c:pt>
                <c:pt idx="9">
                  <c:v>178908.63</c:v>
                </c:pt>
                <c:pt idx="10">
                  <c:v>174774.97</c:v>
                </c:pt>
                <c:pt idx="11">
                  <c:v>135982.10999999999</c:v>
                </c:pt>
                <c:pt idx="12">
                  <c:v>142235.13</c:v>
                </c:pt>
                <c:pt idx="13">
                  <c:v>163382.43</c:v>
                </c:pt>
                <c:pt idx="14">
                  <c:v>164651.95000000001</c:v>
                </c:pt>
                <c:pt idx="15">
                  <c:v>170097.14</c:v>
                </c:pt>
                <c:pt idx="16">
                  <c:v>164750.93</c:v>
                </c:pt>
                <c:pt idx="17">
                  <c:v>171133.67</c:v>
                </c:pt>
                <c:pt idx="18">
                  <c:v>170063.74</c:v>
                </c:pt>
                <c:pt idx="19">
                  <c:v>175003.35</c:v>
                </c:pt>
                <c:pt idx="20">
                  <c:v>194253.23</c:v>
                </c:pt>
                <c:pt idx="21">
                  <c:v>194984.28</c:v>
                </c:pt>
                <c:pt idx="22">
                  <c:v>197273.59</c:v>
                </c:pt>
                <c:pt idx="23">
                  <c:v>157079.03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C-4EF5-AAE4-77775A0D04C7}"/>
            </c:ext>
          </c:extLst>
        </c:ser>
        <c:ser>
          <c:idx val="1"/>
          <c:order val="1"/>
          <c:tx>
            <c:strRef>
              <c:f>Monthly_Trends!$D$3</c:f>
              <c:strCache>
                <c:ptCount val="1"/>
                <c:pt idx="0">
                  <c:v>COGS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Monthly_Trends!$B$4:$B$27</c:f>
              <c:strCache>
                <c:ptCount val="24"/>
                <c:pt idx="0">
                  <c:v>Mar 2021</c:v>
                </c:pt>
                <c:pt idx="1">
                  <c:v>Apr 2021</c:v>
                </c:pt>
                <c:pt idx="2">
                  <c:v>May 2021</c:v>
                </c:pt>
                <c:pt idx="3">
                  <c:v>Jun 2021</c:v>
                </c:pt>
                <c:pt idx="4">
                  <c:v>Jul 2021</c:v>
                </c:pt>
                <c:pt idx="5">
                  <c:v>Aug 2021</c:v>
                </c:pt>
                <c:pt idx="6">
                  <c:v>Sep 2021</c:v>
                </c:pt>
                <c:pt idx="7">
                  <c:v>Oct 2021</c:v>
                </c:pt>
                <c:pt idx="8">
                  <c:v>Nov 2021</c:v>
                </c:pt>
                <c:pt idx="9">
                  <c:v>Dec 2021</c:v>
                </c:pt>
                <c:pt idx="10">
                  <c:v>Jan 2022</c:v>
                </c:pt>
                <c:pt idx="11">
                  <c:v>Feb 2022</c:v>
                </c:pt>
                <c:pt idx="12">
                  <c:v>Mar 2022</c:v>
                </c:pt>
                <c:pt idx="13">
                  <c:v>Apr 2022</c:v>
                </c:pt>
                <c:pt idx="14">
                  <c:v>May 2022</c:v>
                </c:pt>
                <c:pt idx="15">
                  <c:v>Jun 2022</c:v>
                </c:pt>
                <c:pt idx="16">
                  <c:v>Jul 2022</c:v>
                </c:pt>
                <c:pt idx="17">
                  <c:v>Aug 2022</c:v>
                </c:pt>
                <c:pt idx="18">
                  <c:v>Sep 2022</c:v>
                </c:pt>
                <c:pt idx="19">
                  <c:v>Oct 2022</c:v>
                </c:pt>
                <c:pt idx="20">
                  <c:v>Nov 2022</c:v>
                </c:pt>
                <c:pt idx="21">
                  <c:v>Dec 2022</c:v>
                </c:pt>
                <c:pt idx="22">
                  <c:v>Jan 2023</c:v>
                </c:pt>
                <c:pt idx="23">
                  <c:v>Feb 2023</c:v>
                </c:pt>
              </c:strCache>
            </c:strRef>
          </c:cat>
          <c:val>
            <c:numRef>
              <c:f>Monthly_Trends!$D$4:$D$27</c:f>
              <c:numCache>
                <c:formatCode>#,##0</c:formatCode>
                <c:ptCount val="24"/>
                <c:pt idx="0">
                  <c:v>69366.039999999994</c:v>
                </c:pt>
                <c:pt idx="1">
                  <c:v>84033.07</c:v>
                </c:pt>
                <c:pt idx="2">
                  <c:v>82530.080000000002</c:v>
                </c:pt>
                <c:pt idx="3">
                  <c:v>89447.74</c:v>
                </c:pt>
                <c:pt idx="4">
                  <c:v>89024.83</c:v>
                </c:pt>
                <c:pt idx="5">
                  <c:v>85075.05</c:v>
                </c:pt>
                <c:pt idx="6">
                  <c:v>86897.16</c:v>
                </c:pt>
                <c:pt idx="7">
                  <c:v>88222.74</c:v>
                </c:pt>
                <c:pt idx="8">
                  <c:v>98489</c:v>
                </c:pt>
                <c:pt idx="9">
                  <c:v>103179.51</c:v>
                </c:pt>
                <c:pt idx="10">
                  <c:v>107156.35</c:v>
                </c:pt>
                <c:pt idx="11">
                  <c:v>76936.69</c:v>
                </c:pt>
                <c:pt idx="12">
                  <c:v>83046.3</c:v>
                </c:pt>
                <c:pt idx="13">
                  <c:v>91080.31</c:v>
                </c:pt>
                <c:pt idx="14">
                  <c:v>96585.64</c:v>
                </c:pt>
                <c:pt idx="15">
                  <c:v>97514.21</c:v>
                </c:pt>
                <c:pt idx="16">
                  <c:v>88585.42</c:v>
                </c:pt>
                <c:pt idx="17">
                  <c:v>98388.23</c:v>
                </c:pt>
                <c:pt idx="18">
                  <c:v>90664.46</c:v>
                </c:pt>
                <c:pt idx="19">
                  <c:v>96672.67</c:v>
                </c:pt>
                <c:pt idx="20">
                  <c:v>105351.25</c:v>
                </c:pt>
                <c:pt idx="21">
                  <c:v>102589.1</c:v>
                </c:pt>
                <c:pt idx="22">
                  <c:v>111546.11</c:v>
                </c:pt>
                <c:pt idx="23">
                  <c:v>91137.18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C-4EF5-AAE4-77775A0D04C7}"/>
            </c:ext>
          </c:extLst>
        </c:ser>
        <c:ser>
          <c:idx val="2"/>
          <c:order val="2"/>
          <c:tx>
            <c:strRef>
              <c:f>Monthly_Trends!$E$3</c:f>
              <c:strCache>
                <c:ptCount val="1"/>
                <c:pt idx="0">
                  <c:v>Gross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Monthly_Trends!$B$4:$B$27</c:f>
              <c:strCache>
                <c:ptCount val="24"/>
                <c:pt idx="0">
                  <c:v>Mar 2021</c:v>
                </c:pt>
                <c:pt idx="1">
                  <c:v>Apr 2021</c:v>
                </c:pt>
                <c:pt idx="2">
                  <c:v>May 2021</c:v>
                </c:pt>
                <c:pt idx="3">
                  <c:v>Jun 2021</c:v>
                </c:pt>
                <c:pt idx="4">
                  <c:v>Jul 2021</c:v>
                </c:pt>
                <c:pt idx="5">
                  <c:v>Aug 2021</c:v>
                </c:pt>
                <c:pt idx="6">
                  <c:v>Sep 2021</c:v>
                </c:pt>
                <c:pt idx="7">
                  <c:v>Oct 2021</c:v>
                </c:pt>
                <c:pt idx="8">
                  <c:v>Nov 2021</c:v>
                </c:pt>
                <c:pt idx="9">
                  <c:v>Dec 2021</c:v>
                </c:pt>
                <c:pt idx="10">
                  <c:v>Jan 2022</c:v>
                </c:pt>
                <c:pt idx="11">
                  <c:v>Feb 2022</c:v>
                </c:pt>
                <c:pt idx="12">
                  <c:v>Mar 2022</c:v>
                </c:pt>
                <c:pt idx="13">
                  <c:v>Apr 2022</c:v>
                </c:pt>
                <c:pt idx="14">
                  <c:v>May 2022</c:v>
                </c:pt>
                <c:pt idx="15">
                  <c:v>Jun 2022</c:v>
                </c:pt>
                <c:pt idx="16">
                  <c:v>Jul 2022</c:v>
                </c:pt>
                <c:pt idx="17">
                  <c:v>Aug 2022</c:v>
                </c:pt>
                <c:pt idx="18">
                  <c:v>Sep 2022</c:v>
                </c:pt>
                <c:pt idx="19">
                  <c:v>Oct 2022</c:v>
                </c:pt>
                <c:pt idx="20">
                  <c:v>Nov 2022</c:v>
                </c:pt>
                <c:pt idx="21">
                  <c:v>Dec 2022</c:v>
                </c:pt>
                <c:pt idx="22">
                  <c:v>Jan 2023</c:v>
                </c:pt>
                <c:pt idx="23">
                  <c:v>Feb 2023</c:v>
                </c:pt>
              </c:strCache>
            </c:strRef>
          </c:cat>
          <c:val>
            <c:numRef>
              <c:f>Monthly_Trends!$E$4:$E$27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C-4EF5-AAE4-77775A0D0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14</xdr:row>
      <xdr:rowOff>0</xdr:rowOff>
    </xdr:from>
    <xdr:ext cx="43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31</xdr:row>
      <xdr:rowOff>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31</xdr:row>
      <xdr:rowOff>0</xdr:rowOff>
    </xdr:from>
    <xdr:ext cx="43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63"/>
  <sheetViews>
    <sheetView showGridLines="0" topLeftCell="A37" workbookViewId="0"/>
  </sheetViews>
  <sheetFormatPr defaultRowHeight="14.5" x14ac:dyDescent="0.35"/>
  <cols>
    <col min="1" max="1" width="2" customWidth="1"/>
    <col min="2" max="2" width="14" customWidth="1"/>
    <col min="3" max="19" width="12" customWidth="1"/>
  </cols>
  <sheetData>
    <row r="2" spans="2:13" ht="32" customHeight="1" x14ac:dyDescent="0.35"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2:13" ht="15" x14ac:dyDescent="0.4">
      <c r="B3" s="33" t="s">
        <v>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5" spans="2:13" ht="17.5" x14ac:dyDescent="0.45">
      <c r="B5" s="1" t="s">
        <v>2</v>
      </c>
    </row>
    <row r="6" spans="2:13" ht="16" x14ac:dyDescent="0.45">
      <c r="B6" s="29" t="s">
        <v>3</v>
      </c>
      <c r="C6" s="30"/>
      <c r="E6" s="29" t="s">
        <v>4</v>
      </c>
      <c r="F6" s="30"/>
      <c r="H6" s="29" t="s">
        <v>5</v>
      </c>
      <c r="I6" s="30"/>
      <c r="K6" s="29" t="s">
        <v>6</v>
      </c>
      <c r="L6" s="30"/>
    </row>
    <row r="7" spans="2:13" ht="30" customHeight="1" x14ac:dyDescent="0.85">
      <c r="B7" s="22" t="s">
        <v>7</v>
      </c>
      <c r="C7" s="23"/>
      <c r="E7" s="22" t="s">
        <v>8</v>
      </c>
      <c r="F7" s="23"/>
      <c r="H7" s="22" t="s">
        <v>9</v>
      </c>
      <c r="I7" s="23"/>
      <c r="K7" s="22" t="s">
        <v>10</v>
      </c>
      <c r="L7" s="23"/>
    </row>
    <row r="8" spans="2:13" ht="16" x14ac:dyDescent="0.45">
      <c r="B8" s="32" t="s">
        <v>11</v>
      </c>
      <c r="C8" s="25"/>
      <c r="E8" s="26" t="s">
        <v>12</v>
      </c>
      <c r="F8" s="25"/>
      <c r="H8" s="32" t="s">
        <v>13</v>
      </c>
      <c r="I8" s="25"/>
      <c r="K8" s="26" t="s">
        <v>14</v>
      </c>
      <c r="L8" s="25"/>
    </row>
    <row r="10" spans="2:13" ht="17.5" x14ac:dyDescent="0.45">
      <c r="B10" s="1" t="s">
        <v>15</v>
      </c>
    </row>
    <row r="11" spans="2:13" ht="16" x14ac:dyDescent="0.45">
      <c r="B11" s="27" t="s">
        <v>16</v>
      </c>
      <c r="C11" s="28"/>
      <c r="E11" s="27" t="s">
        <v>17</v>
      </c>
      <c r="F11" s="28"/>
      <c r="H11" s="27" t="s">
        <v>18</v>
      </c>
      <c r="I11" s="28"/>
      <c r="K11" s="27" t="s">
        <v>19</v>
      </c>
      <c r="L11" s="28"/>
    </row>
    <row r="12" spans="2:13" ht="29" x14ac:dyDescent="0.75">
      <c r="B12" s="18">
        <v>0.42876932532008699</v>
      </c>
      <c r="C12" s="19"/>
      <c r="E12" s="18">
        <v>0.53552016573933348</v>
      </c>
      <c r="F12" s="19"/>
      <c r="H12" s="18">
        <v>-0.10649699271006551</v>
      </c>
      <c r="I12" s="19"/>
      <c r="K12" s="18">
        <v>1.549342434210526</v>
      </c>
      <c r="L12" s="19"/>
    </row>
    <row r="13" spans="2:13" x14ac:dyDescent="0.35">
      <c r="B13" s="31" t="s">
        <v>20</v>
      </c>
      <c r="C13" s="25"/>
      <c r="E13" s="31" t="s">
        <v>21</v>
      </c>
      <c r="F13" s="25"/>
      <c r="H13" s="31" t="s">
        <v>22</v>
      </c>
      <c r="I13" s="25"/>
      <c r="K13" s="31" t="s">
        <v>23</v>
      </c>
      <c r="L13" s="25"/>
    </row>
    <row r="48" spans="2:8" ht="17.5" x14ac:dyDescent="0.45">
      <c r="B48" s="1" t="s">
        <v>24</v>
      </c>
      <c r="H48" s="1" t="s">
        <v>25</v>
      </c>
    </row>
    <row r="49" spans="2:13" ht="16.5" x14ac:dyDescent="0.45">
      <c r="B49" s="3" t="s">
        <v>26</v>
      </c>
      <c r="C49" s="3" t="s">
        <v>27</v>
      </c>
      <c r="D49" s="3" t="s">
        <v>28</v>
      </c>
      <c r="E49" s="3" t="s">
        <v>29</v>
      </c>
      <c r="F49" s="3" t="s">
        <v>30</v>
      </c>
      <c r="H49" s="4" t="s">
        <v>26</v>
      </c>
      <c r="I49" s="4" t="s">
        <v>31</v>
      </c>
    </row>
    <row r="50" spans="2:13" ht="16.5" x14ac:dyDescent="0.45">
      <c r="B50" s="5" t="s">
        <v>3</v>
      </c>
      <c r="C50" s="6">
        <v>3875000.5</v>
      </c>
      <c r="D50" s="6">
        <v>3891073.63</v>
      </c>
      <c r="E50" s="6">
        <v>-16073.12999999989</v>
      </c>
      <c r="F50" s="7">
        <v>-4.1307699438213634E-3</v>
      </c>
      <c r="H50" s="2" t="s">
        <v>32</v>
      </c>
      <c r="I50" s="6">
        <v>12259390.779999999</v>
      </c>
    </row>
    <row r="51" spans="2:13" ht="16.5" x14ac:dyDescent="0.45">
      <c r="B51" s="5" t="s">
        <v>4</v>
      </c>
      <c r="C51" s="6">
        <v>2213519.14</v>
      </c>
      <c r="D51" s="6">
        <v>2189647.2200000002</v>
      </c>
      <c r="E51" s="6">
        <v>23871.91999999946</v>
      </c>
      <c r="F51" s="7">
        <v>1.090217628755716E-2</v>
      </c>
      <c r="H51" s="2" t="s">
        <v>33</v>
      </c>
      <c r="I51" s="6">
        <v>1161809.6200000001</v>
      </c>
    </row>
    <row r="52" spans="2:13" ht="16.5" x14ac:dyDescent="0.45">
      <c r="B52" s="8" t="s">
        <v>5</v>
      </c>
      <c r="C52" s="6">
        <v>1661481.35</v>
      </c>
      <c r="D52" s="6">
        <v>1637230.95</v>
      </c>
      <c r="E52" s="6">
        <v>24250.39999999967</v>
      </c>
      <c r="F52" s="9">
        <v>1.481183824432324E-2</v>
      </c>
      <c r="H52" s="2" t="s">
        <v>34</v>
      </c>
      <c r="I52" s="6">
        <v>1379208.92</v>
      </c>
    </row>
    <row r="53" spans="2:13" ht="16.5" x14ac:dyDescent="0.45">
      <c r="B53" s="5" t="s">
        <v>35</v>
      </c>
      <c r="C53" s="6">
        <v>2075140.91</v>
      </c>
      <c r="D53" s="6">
        <v>2069348.06</v>
      </c>
      <c r="E53" s="6">
        <v>5792.850000000326</v>
      </c>
      <c r="F53" s="7">
        <v>2.799359910483269E-3</v>
      </c>
      <c r="H53" s="2" t="s">
        <v>36</v>
      </c>
      <c r="I53" s="6">
        <v>18100409.32</v>
      </c>
    </row>
    <row r="54" spans="2:13" ht="16.5" x14ac:dyDescent="0.45">
      <c r="B54" s="8" t="s">
        <v>6</v>
      </c>
      <c r="C54" s="6">
        <v>-412675.9</v>
      </c>
      <c r="D54" s="6">
        <v>-414291.89</v>
      </c>
      <c r="E54" s="6">
        <v>1615.9899999999909</v>
      </c>
      <c r="F54" s="9">
        <v>-3.9006073712907841E-3</v>
      </c>
      <c r="H54" s="2" t="s">
        <v>37</v>
      </c>
      <c r="I54" s="6">
        <v>18100409.32</v>
      </c>
    </row>
    <row r="55" spans="2:13" x14ac:dyDescent="0.35">
      <c r="H55" s="2" t="s">
        <v>38</v>
      </c>
      <c r="I55" s="6">
        <v>3433576.48</v>
      </c>
    </row>
    <row r="56" spans="2:13" x14ac:dyDescent="0.35">
      <c r="H56" s="2" t="s">
        <v>39</v>
      </c>
      <c r="I56" s="6">
        <v>9955225.1199999992</v>
      </c>
    </row>
    <row r="57" spans="2:13" ht="17.5" x14ac:dyDescent="0.45">
      <c r="B57" s="1" t="s">
        <v>40</v>
      </c>
      <c r="H57" s="2" t="s">
        <v>41</v>
      </c>
      <c r="I57" s="6">
        <v>18100409.32</v>
      </c>
    </row>
    <row r="58" spans="2:13" ht="16" x14ac:dyDescent="0.45">
      <c r="B58" s="24" t="s">
        <v>42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59" spans="2:13" ht="16" x14ac:dyDescent="0.45">
      <c r="B59" s="24" t="s">
        <v>43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2:13" ht="16" x14ac:dyDescent="0.45">
      <c r="B60" s="24" t="s">
        <v>44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</row>
    <row r="61" spans="2:13" ht="16" x14ac:dyDescent="0.45">
      <c r="B61" s="24" t="s">
        <v>45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2:13" ht="16" x14ac:dyDescent="0.45">
      <c r="B62" s="24" t="s">
        <v>46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</row>
    <row r="63" spans="2:13" ht="16" x14ac:dyDescent="0.45">
      <c r="B63" s="24" t="s">
        <v>47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</sheetData>
  <mergeCells count="32">
    <mergeCell ref="K13:L13"/>
    <mergeCell ref="B13:C13"/>
    <mergeCell ref="H11:I11"/>
    <mergeCell ref="E6:F6"/>
    <mergeCell ref="K12:L12"/>
    <mergeCell ref="K8:L8"/>
    <mergeCell ref="H7:I7"/>
    <mergeCell ref="B63:M63"/>
    <mergeCell ref="E11:F11"/>
    <mergeCell ref="H13:I13"/>
    <mergeCell ref="B6:C6"/>
    <mergeCell ref="K7:L7"/>
    <mergeCell ref="H12:I12"/>
    <mergeCell ref="B62:M62"/>
    <mergeCell ref="E7:F7"/>
    <mergeCell ref="B59:M59"/>
    <mergeCell ref="E12:F12"/>
    <mergeCell ref="B2:M2"/>
    <mergeCell ref="B7:C7"/>
    <mergeCell ref="B60:M60"/>
    <mergeCell ref="B61:M61"/>
    <mergeCell ref="E8:F8"/>
    <mergeCell ref="B12:C12"/>
    <mergeCell ref="K11:L11"/>
    <mergeCell ref="H6:I6"/>
    <mergeCell ref="B11:C11"/>
    <mergeCell ref="E13:F13"/>
    <mergeCell ref="B8:C8"/>
    <mergeCell ref="B3:M3"/>
    <mergeCell ref="B58:M58"/>
    <mergeCell ref="H8:I8"/>
    <mergeCell ref="K6:L6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/>
  </sheetViews>
  <sheetFormatPr defaultRowHeight="14.5" x14ac:dyDescent="0.35"/>
  <sheetData>
    <row r="1" spans="1:13" x14ac:dyDescent="0.35">
      <c r="A1" t="s">
        <v>48</v>
      </c>
      <c r="B1" t="s">
        <v>3</v>
      </c>
      <c r="C1" t="s">
        <v>4</v>
      </c>
      <c r="D1" t="s">
        <v>5</v>
      </c>
      <c r="E1" t="s">
        <v>6</v>
      </c>
      <c r="F1" t="s">
        <v>49</v>
      </c>
      <c r="G1" t="s">
        <v>50</v>
      </c>
      <c r="I1" t="s">
        <v>51</v>
      </c>
      <c r="J1" t="s">
        <v>3</v>
      </c>
      <c r="L1" t="s">
        <v>52</v>
      </c>
      <c r="M1" t="s">
        <v>3</v>
      </c>
    </row>
    <row r="2" spans="1:13" x14ac:dyDescent="0.35">
      <c r="A2" t="s">
        <v>53</v>
      </c>
      <c r="B2">
        <v>121897.77</v>
      </c>
      <c r="C2">
        <v>69366.039999999994</v>
      </c>
      <c r="D2">
        <v>0</v>
      </c>
      <c r="E2">
        <v>0</v>
      </c>
      <c r="F2">
        <v>0.43094906494187712</v>
      </c>
      <c r="G2">
        <v>0</v>
      </c>
      <c r="I2" t="s">
        <v>54</v>
      </c>
      <c r="J2">
        <v>1157392.49</v>
      </c>
      <c r="L2" t="s">
        <v>55</v>
      </c>
      <c r="M2">
        <v>1073220.93</v>
      </c>
    </row>
    <row r="3" spans="1:13" x14ac:dyDescent="0.35">
      <c r="A3" t="s">
        <v>56</v>
      </c>
      <c r="B3">
        <v>143220.66</v>
      </c>
      <c r="C3">
        <v>84033.07</v>
      </c>
      <c r="D3">
        <v>0</v>
      </c>
      <c r="E3">
        <v>0</v>
      </c>
      <c r="F3">
        <v>0.41326153642917163</v>
      </c>
      <c r="G3">
        <v>0</v>
      </c>
      <c r="I3" t="s">
        <v>57</v>
      </c>
      <c r="J3">
        <v>1135098.8500000001</v>
      </c>
      <c r="L3" t="s">
        <v>58</v>
      </c>
      <c r="M3">
        <v>1062876.6000000001</v>
      </c>
    </row>
    <row r="4" spans="1:13" x14ac:dyDescent="0.35">
      <c r="A4" t="s">
        <v>59</v>
      </c>
      <c r="B4">
        <v>140051.42000000001</v>
      </c>
      <c r="C4">
        <v>82530.080000000002</v>
      </c>
      <c r="D4">
        <v>0</v>
      </c>
      <c r="E4">
        <v>0</v>
      </c>
      <c r="F4">
        <v>0.4107159356185035</v>
      </c>
      <c r="G4">
        <v>0</v>
      </c>
      <c r="I4" t="s">
        <v>60</v>
      </c>
      <c r="J4">
        <v>821505.3</v>
      </c>
      <c r="L4" t="s">
        <v>61</v>
      </c>
      <c r="M4">
        <v>1025546.19</v>
      </c>
    </row>
    <row r="5" spans="1:13" x14ac:dyDescent="0.35">
      <c r="A5" t="s">
        <v>62</v>
      </c>
      <c r="B5">
        <v>149219.81</v>
      </c>
      <c r="C5">
        <v>89447.74</v>
      </c>
      <c r="D5">
        <v>0</v>
      </c>
      <c r="E5">
        <v>0</v>
      </c>
      <c r="F5">
        <v>0.40056390636069028</v>
      </c>
      <c r="G5">
        <v>0</v>
      </c>
      <c r="I5" t="s">
        <v>63</v>
      </c>
      <c r="J5">
        <v>761003.86</v>
      </c>
      <c r="L5" t="s">
        <v>64</v>
      </c>
      <c r="M5">
        <v>713356.78</v>
      </c>
    </row>
    <row r="6" spans="1:13" x14ac:dyDescent="0.35">
      <c r="A6" t="s">
        <v>65</v>
      </c>
      <c r="B6">
        <v>144251.48000000001</v>
      </c>
      <c r="C6">
        <v>89024.83</v>
      </c>
      <c r="D6">
        <v>0</v>
      </c>
      <c r="E6">
        <v>0</v>
      </c>
      <c r="F6">
        <v>0.38284972882080648</v>
      </c>
      <c r="G6">
        <v>0</v>
      </c>
    </row>
    <row r="7" spans="1:13" x14ac:dyDescent="0.35">
      <c r="A7" t="s">
        <v>66</v>
      </c>
      <c r="B7">
        <v>144112.14000000001</v>
      </c>
      <c r="C7">
        <v>85075.05</v>
      </c>
      <c r="D7">
        <v>0</v>
      </c>
      <c r="E7">
        <v>0</v>
      </c>
      <c r="F7">
        <v>0.40966076834331933</v>
      </c>
      <c r="G7">
        <v>0</v>
      </c>
    </row>
    <row r="8" spans="1:13" x14ac:dyDescent="0.35">
      <c r="A8" t="s">
        <v>67</v>
      </c>
      <c r="B8">
        <v>152891.47</v>
      </c>
      <c r="C8">
        <v>86897.16</v>
      </c>
      <c r="D8">
        <v>0</v>
      </c>
      <c r="E8">
        <v>0</v>
      </c>
      <c r="F8">
        <v>0.43164154285389489</v>
      </c>
      <c r="G8">
        <v>0</v>
      </c>
    </row>
    <row r="9" spans="1:13" x14ac:dyDescent="0.35">
      <c r="A9" t="s">
        <v>68</v>
      </c>
      <c r="B9">
        <v>152958.92000000001</v>
      </c>
      <c r="C9">
        <v>88222.74</v>
      </c>
      <c r="D9">
        <v>0</v>
      </c>
      <c r="E9">
        <v>0</v>
      </c>
      <c r="F9">
        <v>0.42322592235876139</v>
      </c>
      <c r="G9">
        <v>0</v>
      </c>
    </row>
    <row r="10" spans="1:13" x14ac:dyDescent="0.35">
      <c r="A10" t="s">
        <v>69</v>
      </c>
      <c r="B10">
        <v>171822.65</v>
      </c>
      <c r="C10">
        <v>98489</v>
      </c>
      <c r="D10">
        <v>0</v>
      </c>
      <c r="E10">
        <v>0</v>
      </c>
      <c r="F10">
        <v>0.42679850415530202</v>
      </c>
      <c r="G10">
        <v>0</v>
      </c>
    </row>
    <row r="11" spans="1:13" x14ac:dyDescent="0.35">
      <c r="A11" t="s">
        <v>70</v>
      </c>
      <c r="B11">
        <v>178908.63</v>
      </c>
      <c r="C11">
        <v>103179.51</v>
      </c>
      <c r="D11">
        <v>0</v>
      </c>
      <c r="E11">
        <v>0</v>
      </c>
      <c r="F11">
        <v>0.42328377339874551</v>
      </c>
      <c r="G11">
        <v>0</v>
      </c>
    </row>
    <row r="12" spans="1:13" x14ac:dyDescent="0.35">
      <c r="A12" t="s">
        <v>71</v>
      </c>
      <c r="B12">
        <v>174774.97</v>
      </c>
      <c r="C12">
        <v>107156.35</v>
      </c>
      <c r="D12">
        <v>0</v>
      </c>
      <c r="E12">
        <v>0</v>
      </c>
      <c r="F12">
        <v>0.38688966732478908</v>
      </c>
      <c r="G12">
        <v>0</v>
      </c>
    </row>
    <row r="13" spans="1:13" x14ac:dyDescent="0.35">
      <c r="A13" t="s">
        <v>72</v>
      </c>
      <c r="B13">
        <v>135982.10999999999</v>
      </c>
      <c r="C13">
        <v>76936.69</v>
      </c>
      <c r="D13">
        <v>0</v>
      </c>
      <c r="E13">
        <v>0</v>
      </c>
      <c r="F13">
        <v>0.43421461837884412</v>
      </c>
      <c r="G13">
        <v>0</v>
      </c>
    </row>
    <row r="14" spans="1:13" x14ac:dyDescent="0.35">
      <c r="A14" t="s">
        <v>73</v>
      </c>
      <c r="B14">
        <v>142235.13</v>
      </c>
      <c r="C14">
        <v>83046.3</v>
      </c>
      <c r="D14">
        <v>0</v>
      </c>
      <c r="E14">
        <v>0</v>
      </c>
      <c r="F14">
        <v>0.4161336935537655</v>
      </c>
      <c r="G14">
        <v>0</v>
      </c>
    </row>
    <row r="15" spans="1:13" x14ac:dyDescent="0.35">
      <c r="A15" t="s">
        <v>74</v>
      </c>
      <c r="B15">
        <v>163382.43</v>
      </c>
      <c r="C15">
        <v>91080.31</v>
      </c>
      <c r="D15">
        <v>0</v>
      </c>
      <c r="E15">
        <v>0</v>
      </c>
      <c r="F15">
        <v>0.44253301900332859</v>
      </c>
      <c r="G15">
        <v>0</v>
      </c>
    </row>
    <row r="16" spans="1:13" x14ac:dyDescent="0.35">
      <c r="A16" t="s">
        <v>75</v>
      </c>
      <c r="B16">
        <v>164651.95000000001</v>
      </c>
      <c r="C16">
        <v>96585.64</v>
      </c>
      <c r="D16">
        <v>0</v>
      </c>
      <c r="E16">
        <v>0</v>
      </c>
      <c r="F16">
        <v>0.41339516477029281</v>
      </c>
      <c r="G16">
        <v>0</v>
      </c>
    </row>
    <row r="17" spans="1:7" x14ac:dyDescent="0.35">
      <c r="A17" t="s">
        <v>76</v>
      </c>
      <c r="B17">
        <v>170097.14</v>
      </c>
      <c r="C17">
        <v>97514.21</v>
      </c>
      <c r="D17">
        <v>0</v>
      </c>
      <c r="E17">
        <v>0</v>
      </c>
      <c r="F17">
        <v>0.42671452324242481</v>
      </c>
      <c r="G17">
        <v>0</v>
      </c>
    </row>
    <row r="18" spans="1:7" x14ac:dyDescent="0.35">
      <c r="A18" t="s">
        <v>77</v>
      </c>
      <c r="B18">
        <v>164750.93</v>
      </c>
      <c r="C18">
        <v>88585.42</v>
      </c>
      <c r="D18">
        <v>0</v>
      </c>
      <c r="E18">
        <v>0</v>
      </c>
      <c r="F18">
        <v>0.46230701095283649</v>
      </c>
      <c r="G18">
        <v>0</v>
      </c>
    </row>
    <row r="19" spans="1:7" x14ac:dyDescent="0.35">
      <c r="A19" t="s">
        <v>78</v>
      </c>
      <c r="B19">
        <v>171133.67</v>
      </c>
      <c r="C19">
        <v>98388.23</v>
      </c>
      <c r="D19">
        <v>0</v>
      </c>
      <c r="E19">
        <v>0</v>
      </c>
      <c r="F19">
        <v>0.42507958837089149</v>
      </c>
      <c r="G19">
        <v>0</v>
      </c>
    </row>
    <row r="20" spans="1:7" x14ac:dyDescent="0.35">
      <c r="A20" t="s">
        <v>79</v>
      </c>
      <c r="B20">
        <v>170063.74</v>
      </c>
      <c r="C20">
        <v>90664.46</v>
      </c>
      <c r="D20">
        <v>0</v>
      </c>
      <c r="E20">
        <v>0</v>
      </c>
      <c r="F20">
        <v>0.46687953587284392</v>
      </c>
      <c r="G20">
        <v>0</v>
      </c>
    </row>
    <row r="21" spans="1:7" x14ac:dyDescent="0.35">
      <c r="A21" t="s">
        <v>80</v>
      </c>
      <c r="B21">
        <v>175003.35</v>
      </c>
      <c r="C21">
        <v>96672.67</v>
      </c>
      <c r="D21">
        <v>0</v>
      </c>
      <c r="E21">
        <v>0</v>
      </c>
      <c r="F21">
        <v>0.44759526031930241</v>
      </c>
      <c r="G21">
        <v>0</v>
      </c>
    </row>
    <row r="22" spans="1:7" x14ac:dyDescent="0.35">
      <c r="A22" t="s">
        <v>81</v>
      </c>
      <c r="B22">
        <v>194253.23</v>
      </c>
      <c r="C22">
        <v>105351.25</v>
      </c>
      <c r="D22">
        <v>0</v>
      </c>
      <c r="E22">
        <v>0</v>
      </c>
      <c r="F22">
        <v>0.45766024070745182</v>
      </c>
      <c r="G22">
        <v>0</v>
      </c>
    </row>
    <row r="23" spans="1:7" x14ac:dyDescent="0.35">
      <c r="A23" t="s">
        <v>82</v>
      </c>
      <c r="B23">
        <v>194984.28</v>
      </c>
      <c r="C23">
        <v>102589.1</v>
      </c>
      <c r="D23">
        <v>0</v>
      </c>
      <c r="E23">
        <v>0</v>
      </c>
      <c r="F23">
        <v>0.4738596362742678</v>
      </c>
      <c r="G23">
        <v>0</v>
      </c>
    </row>
    <row r="24" spans="1:7" x14ac:dyDescent="0.35">
      <c r="A24" t="s">
        <v>83</v>
      </c>
      <c r="B24">
        <v>197273.59</v>
      </c>
      <c r="C24">
        <v>111546.11</v>
      </c>
      <c r="D24">
        <v>0</v>
      </c>
      <c r="E24">
        <v>0</v>
      </c>
      <c r="F24">
        <v>0.43456136221782138</v>
      </c>
      <c r="G24">
        <v>0</v>
      </c>
    </row>
    <row r="25" spans="1:7" x14ac:dyDescent="0.35">
      <c r="A25" t="s">
        <v>84</v>
      </c>
      <c r="B25">
        <v>157079.03</v>
      </c>
      <c r="C25">
        <v>91137.18</v>
      </c>
      <c r="D25">
        <v>0</v>
      </c>
      <c r="E25">
        <v>0</v>
      </c>
      <c r="F25">
        <v>0.41980046604565868</v>
      </c>
      <c r="G2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4.5" x14ac:dyDescent="0.35"/>
  <cols>
    <col min="1" max="5" width="18" customWidth="1"/>
  </cols>
  <sheetData>
    <row r="1" spans="1:5" ht="21" x14ac:dyDescent="0.5">
      <c r="A1" s="10" t="s">
        <v>85</v>
      </c>
    </row>
    <row r="3" spans="1:5" x14ac:dyDescent="0.35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</row>
    <row r="4" spans="1:5" x14ac:dyDescent="0.35">
      <c r="A4" t="s">
        <v>3</v>
      </c>
      <c r="B4" s="11">
        <v>3875000.5</v>
      </c>
      <c r="C4" s="11">
        <v>3891073.63</v>
      </c>
      <c r="D4" s="11">
        <v>-16073.12999999989</v>
      </c>
      <c r="E4" s="12">
        <v>-4.1307699438213634E-3</v>
      </c>
    </row>
    <row r="5" spans="1:5" x14ac:dyDescent="0.35">
      <c r="A5" t="s">
        <v>4</v>
      </c>
      <c r="B5" s="11">
        <v>2213519.14</v>
      </c>
      <c r="C5" s="11">
        <v>2189647.2200000002</v>
      </c>
      <c r="D5" s="11">
        <v>23871.91999999946</v>
      </c>
      <c r="E5" s="12">
        <v>1.090217628755716E-2</v>
      </c>
    </row>
    <row r="6" spans="1:5" x14ac:dyDescent="0.35">
      <c r="A6" t="s">
        <v>5</v>
      </c>
      <c r="B6" s="11">
        <v>1661481.35</v>
      </c>
      <c r="C6" s="11">
        <v>1637230.95</v>
      </c>
      <c r="D6" s="11">
        <v>24250.39999999967</v>
      </c>
      <c r="E6" s="12">
        <v>1.481183824432324E-2</v>
      </c>
    </row>
    <row r="7" spans="1:5" x14ac:dyDescent="0.35">
      <c r="A7" t="s">
        <v>35</v>
      </c>
      <c r="B7" s="11">
        <v>2075140.91</v>
      </c>
      <c r="C7" s="11">
        <v>2069348.06</v>
      </c>
      <c r="D7" s="11">
        <v>5792.850000000326</v>
      </c>
      <c r="E7" s="12">
        <v>2.799359910483269E-3</v>
      </c>
    </row>
    <row r="8" spans="1:5" x14ac:dyDescent="0.35">
      <c r="A8" t="s">
        <v>6</v>
      </c>
      <c r="B8" s="11">
        <v>-412675.9</v>
      </c>
      <c r="C8" s="11">
        <v>-414291.89</v>
      </c>
      <c r="D8" s="11">
        <v>1615.9899999999909</v>
      </c>
      <c r="E8" s="12">
        <v>-3.9006073712907841E-3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/>
  </sheetViews>
  <sheetFormatPr defaultRowHeight="14.5" x14ac:dyDescent="0.35"/>
  <sheetData>
    <row r="1" spans="1:9" ht="21" x14ac:dyDescent="0.5">
      <c r="A1" s="10" t="s">
        <v>86</v>
      </c>
    </row>
    <row r="3" spans="1:9" x14ac:dyDescent="0.35">
      <c r="A3" s="4" t="s">
        <v>87</v>
      </c>
      <c r="B3" s="4" t="s">
        <v>48</v>
      </c>
      <c r="C3" s="4" t="s">
        <v>3</v>
      </c>
      <c r="D3" s="4" t="s">
        <v>4</v>
      </c>
      <c r="E3" s="4" t="s">
        <v>5</v>
      </c>
      <c r="F3" s="4" t="s">
        <v>50</v>
      </c>
      <c r="G3" s="4" t="s">
        <v>6</v>
      </c>
      <c r="H3" s="4" t="s">
        <v>49</v>
      </c>
      <c r="I3" s="4" t="s">
        <v>88</v>
      </c>
    </row>
    <row r="4" spans="1:9" x14ac:dyDescent="0.35">
      <c r="A4">
        <v>202103</v>
      </c>
      <c r="B4" t="s">
        <v>53</v>
      </c>
      <c r="C4" s="13">
        <v>121897.77</v>
      </c>
      <c r="D4" s="13">
        <v>69366.039999999994</v>
      </c>
      <c r="E4" s="13">
        <v>0</v>
      </c>
      <c r="F4" s="13">
        <v>0</v>
      </c>
      <c r="G4" s="13">
        <v>0</v>
      </c>
      <c r="H4" s="14">
        <v>0.43094906494187712</v>
      </c>
      <c r="I4" s="14">
        <v>-0.14836924416254699</v>
      </c>
    </row>
    <row r="5" spans="1:9" x14ac:dyDescent="0.35">
      <c r="A5">
        <v>202104</v>
      </c>
      <c r="B5" t="s">
        <v>56</v>
      </c>
      <c r="C5" s="13">
        <v>143220.66</v>
      </c>
      <c r="D5" s="13">
        <v>84033.07</v>
      </c>
      <c r="E5" s="13">
        <v>0</v>
      </c>
      <c r="F5" s="13">
        <v>0</v>
      </c>
      <c r="G5" s="13">
        <v>0</v>
      </c>
      <c r="H5" s="14">
        <v>0.41326153642917163</v>
      </c>
      <c r="I5" s="14">
        <v>-0.12163545399106521</v>
      </c>
    </row>
    <row r="6" spans="1:9" x14ac:dyDescent="0.35">
      <c r="A6">
        <v>202105</v>
      </c>
      <c r="B6" t="s">
        <v>59</v>
      </c>
      <c r="C6" s="13">
        <v>140051.42000000001</v>
      </c>
      <c r="D6" s="13">
        <v>82530.080000000002</v>
      </c>
      <c r="E6" s="13">
        <v>0</v>
      </c>
      <c r="F6" s="13">
        <v>0</v>
      </c>
      <c r="G6" s="13">
        <v>0</v>
      </c>
      <c r="H6" s="14">
        <v>0.4107159356185035</v>
      </c>
      <c r="I6" s="14">
        <v>-0.1176767790001701</v>
      </c>
    </row>
    <row r="7" spans="1:9" x14ac:dyDescent="0.35">
      <c r="A7">
        <v>202106</v>
      </c>
      <c r="B7" t="s">
        <v>62</v>
      </c>
      <c r="C7" s="13">
        <v>149219.81</v>
      </c>
      <c r="D7" s="13">
        <v>89447.74</v>
      </c>
      <c r="E7" s="13">
        <v>0</v>
      </c>
      <c r="F7" s="13">
        <v>0</v>
      </c>
      <c r="G7" s="13">
        <v>0</v>
      </c>
      <c r="H7" s="14">
        <v>0.40056390636069028</v>
      </c>
      <c r="I7" s="14">
        <v>-8.3994812753078837E-2</v>
      </c>
    </row>
    <row r="8" spans="1:9" x14ac:dyDescent="0.35">
      <c r="A8">
        <v>202107</v>
      </c>
      <c r="B8" t="s">
        <v>65</v>
      </c>
      <c r="C8" s="13">
        <v>144251.48000000001</v>
      </c>
      <c r="D8" s="13">
        <v>89024.83</v>
      </c>
      <c r="E8" s="13">
        <v>0</v>
      </c>
      <c r="F8" s="13">
        <v>0</v>
      </c>
      <c r="G8" s="13">
        <v>0</v>
      </c>
      <c r="H8" s="14">
        <v>0.38284972882080648</v>
      </c>
      <c r="I8" s="14">
        <v>-0.14696833613076271</v>
      </c>
    </row>
    <row r="9" spans="1:9" x14ac:dyDescent="0.35">
      <c r="A9">
        <v>202108</v>
      </c>
      <c r="B9" t="s">
        <v>66</v>
      </c>
      <c r="C9" s="13">
        <v>144112.14000000001</v>
      </c>
      <c r="D9" s="13">
        <v>85075.05</v>
      </c>
      <c r="E9" s="13">
        <v>0</v>
      </c>
      <c r="F9" s="13">
        <v>0</v>
      </c>
      <c r="G9" s="13">
        <v>0</v>
      </c>
      <c r="H9" s="14">
        <v>0.40966076834331933</v>
      </c>
      <c r="I9" s="14">
        <v>-0.12366279482075559</v>
      </c>
    </row>
    <row r="10" spans="1:9" x14ac:dyDescent="0.35">
      <c r="A10">
        <v>202109</v>
      </c>
      <c r="B10" t="s">
        <v>67</v>
      </c>
      <c r="C10" s="13">
        <v>152891.47</v>
      </c>
      <c r="D10" s="13">
        <v>86897.16</v>
      </c>
      <c r="E10" s="13">
        <v>0</v>
      </c>
      <c r="F10" s="13">
        <v>0</v>
      </c>
      <c r="G10" s="13">
        <v>0</v>
      </c>
      <c r="H10" s="14">
        <v>0.43164154285389489</v>
      </c>
      <c r="I10" s="14">
        <v>-7.70237214672604E-2</v>
      </c>
    </row>
    <row r="11" spans="1:9" x14ac:dyDescent="0.35">
      <c r="A11">
        <v>202110</v>
      </c>
      <c r="B11" t="s">
        <v>68</v>
      </c>
      <c r="C11" s="13">
        <v>152958.92000000001</v>
      </c>
      <c r="D11" s="13">
        <v>88222.74</v>
      </c>
      <c r="E11" s="13">
        <v>0</v>
      </c>
      <c r="F11" s="13">
        <v>0</v>
      </c>
      <c r="G11" s="13">
        <v>0</v>
      </c>
      <c r="H11" s="14">
        <v>0.42322592235876139</v>
      </c>
      <c r="I11" s="14">
        <v>-7.9075283742850694E-2</v>
      </c>
    </row>
    <row r="12" spans="1:9" x14ac:dyDescent="0.35">
      <c r="A12">
        <v>202111</v>
      </c>
      <c r="B12" t="s">
        <v>69</v>
      </c>
      <c r="C12" s="13">
        <v>171822.65</v>
      </c>
      <c r="D12" s="13">
        <v>98489</v>
      </c>
      <c r="E12" s="13">
        <v>0</v>
      </c>
      <c r="F12" s="13">
        <v>0</v>
      </c>
      <c r="G12" s="13">
        <v>0</v>
      </c>
      <c r="H12" s="14">
        <v>0.42679850415530202</v>
      </c>
      <c r="I12" s="14">
        <v>-3.8711834557318248E-2</v>
      </c>
    </row>
    <row r="13" spans="1:9" x14ac:dyDescent="0.35">
      <c r="A13">
        <v>202112</v>
      </c>
      <c r="B13" t="s">
        <v>70</v>
      </c>
      <c r="C13" s="13">
        <v>178908.63</v>
      </c>
      <c r="D13" s="13">
        <v>103179.51</v>
      </c>
      <c r="E13" s="13">
        <v>0</v>
      </c>
      <c r="F13" s="13">
        <v>0</v>
      </c>
      <c r="G13" s="13">
        <v>0</v>
      </c>
      <c r="H13" s="14">
        <v>0.42328377339874551</v>
      </c>
      <c r="I13" s="14">
        <v>-2.219965576842213E-2</v>
      </c>
    </row>
    <row r="14" spans="1:9" x14ac:dyDescent="0.35">
      <c r="A14">
        <v>202201</v>
      </c>
      <c r="B14" t="s">
        <v>71</v>
      </c>
      <c r="C14" s="13">
        <v>174774.97</v>
      </c>
      <c r="D14" s="13">
        <v>107156.35</v>
      </c>
      <c r="E14" s="13">
        <v>0</v>
      </c>
      <c r="F14" s="13">
        <v>0</v>
      </c>
      <c r="G14" s="13">
        <v>0</v>
      </c>
      <c r="H14" s="14">
        <v>0.38688966732478908</v>
      </c>
      <c r="I14" s="14">
        <v>-8.1478200225123767E-2</v>
      </c>
    </row>
    <row r="15" spans="1:9" x14ac:dyDescent="0.35">
      <c r="A15">
        <v>202202</v>
      </c>
      <c r="B15" t="s">
        <v>72</v>
      </c>
      <c r="C15" s="13">
        <v>135982.10999999999</v>
      </c>
      <c r="D15" s="13">
        <v>76936.69</v>
      </c>
      <c r="E15" s="13">
        <v>0</v>
      </c>
      <c r="F15" s="13">
        <v>0</v>
      </c>
      <c r="G15" s="13">
        <v>0</v>
      </c>
      <c r="H15" s="14">
        <v>0.43421461837884412</v>
      </c>
      <c r="I15" s="14">
        <v>-0.13170673701121419</v>
      </c>
    </row>
    <row r="16" spans="1:9" x14ac:dyDescent="0.35">
      <c r="A16">
        <v>202203</v>
      </c>
      <c r="B16" t="s">
        <v>73</v>
      </c>
      <c r="C16" s="13">
        <v>142235.13</v>
      </c>
      <c r="D16" s="13">
        <v>83046.3</v>
      </c>
      <c r="E16" s="13">
        <v>0</v>
      </c>
      <c r="F16" s="13">
        <v>0</v>
      </c>
      <c r="G16" s="13">
        <v>0</v>
      </c>
      <c r="H16" s="14">
        <v>0.4161336935537655</v>
      </c>
      <c r="I16" s="14">
        <v>-0.13397309089533649</v>
      </c>
    </row>
    <row r="17" spans="1:9" x14ac:dyDescent="0.35">
      <c r="A17">
        <v>202204</v>
      </c>
      <c r="B17" t="s">
        <v>74</v>
      </c>
      <c r="C17" s="13">
        <v>163382.43</v>
      </c>
      <c r="D17" s="13">
        <v>91080.31</v>
      </c>
      <c r="E17" s="13">
        <v>0</v>
      </c>
      <c r="F17" s="13">
        <v>0</v>
      </c>
      <c r="G17" s="13">
        <v>0</v>
      </c>
      <c r="H17" s="14">
        <v>0.44253301900332859</v>
      </c>
      <c r="I17" s="14">
        <v>-3.4118601369804567E-2</v>
      </c>
    </row>
    <row r="18" spans="1:9" x14ac:dyDescent="0.35">
      <c r="A18">
        <v>202205</v>
      </c>
      <c r="B18" t="s">
        <v>75</v>
      </c>
      <c r="C18" s="13">
        <v>164651.95000000001</v>
      </c>
      <c r="D18" s="13">
        <v>96585.64</v>
      </c>
      <c r="E18" s="13">
        <v>0</v>
      </c>
      <c r="F18" s="13">
        <v>0</v>
      </c>
      <c r="G18" s="13">
        <v>0</v>
      </c>
      <c r="H18" s="14">
        <v>0.41339516477029281</v>
      </c>
      <c r="I18" s="14">
        <v>-8.4297392165716828E-2</v>
      </c>
    </row>
    <row r="19" spans="1:9" x14ac:dyDescent="0.35">
      <c r="A19">
        <v>202206</v>
      </c>
      <c r="B19" t="s">
        <v>76</v>
      </c>
      <c r="C19" s="13">
        <v>170097.14</v>
      </c>
      <c r="D19" s="13">
        <v>97514.21</v>
      </c>
      <c r="E19" s="13">
        <v>0</v>
      </c>
      <c r="F19" s="13">
        <v>0</v>
      </c>
      <c r="G19" s="13">
        <v>0</v>
      </c>
      <c r="H19" s="14">
        <v>0.42671452324242481</v>
      </c>
      <c r="I19" s="14">
        <v>-4.9220639453432323E-2</v>
      </c>
    </row>
    <row r="20" spans="1:9" x14ac:dyDescent="0.35">
      <c r="A20">
        <v>202207</v>
      </c>
      <c r="B20" t="s">
        <v>77</v>
      </c>
      <c r="C20" s="13">
        <v>164750.93</v>
      </c>
      <c r="D20" s="13">
        <v>88585.42</v>
      </c>
      <c r="E20" s="13">
        <v>0</v>
      </c>
      <c r="F20" s="13">
        <v>0</v>
      </c>
      <c r="G20" s="13">
        <v>0</v>
      </c>
      <c r="H20" s="14">
        <v>0.46230701095283649</v>
      </c>
      <c r="I20" s="14">
        <v>-2.4211517349249562E-2</v>
      </c>
    </row>
    <row r="21" spans="1:9" x14ac:dyDescent="0.35">
      <c r="A21">
        <v>202208</v>
      </c>
      <c r="B21" t="s">
        <v>78</v>
      </c>
      <c r="C21" s="13">
        <v>171133.67</v>
      </c>
      <c r="D21" s="13">
        <v>98388.23</v>
      </c>
      <c r="E21" s="13">
        <v>0</v>
      </c>
      <c r="F21" s="13">
        <v>0</v>
      </c>
      <c r="G21" s="13">
        <v>0</v>
      </c>
      <c r="H21" s="14">
        <v>0.42507958837089149</v>
      </c>
      <c r="I21" s="14">
        <v>-0.123392900999552</v>
      </c>
    </row>
    <row r="22" spans="1:9" x14ac:dyDescent="0.35">
      <c r="A22">
        <v>202209</v>
      </c>
      <c r="B22" t="s">
        <v>79</v>
      </c>
      <c r="C22" s="13">
        <v>170063.74</v>
      </c>
      <c r="D22" s="13">
        <v>90664.46</v>
      </c>
      <c r="E22" s="13">
        <v>0</v>
      </c>
      <c r="F22" s="13">
        <v>0</v>
      </c>
      <c r="G22" s="13">
        <v>0</v>
      </c>
      <c r="H22" s="14">
        <v>0.46687953587284392</v>
      </c>
      <c r="I22" s="14">
        <v>-0.12935244161983031</v>
      </c>
    </row>
    <row r="23" spans="1:9" x14ac:dyDescent="0.35">
      <c r="A23">
        <v>202210</v>
      </c>
      <c r="B23" t="s">
        <v>80</v>
      </c>
      <c r="C23" s="13">
        <v>175003.35</v>
      </c>
      <c r="D23" s="13">
        <v>96672.67</v>
      </c>
      <c r="E23" s="13">
        <v>0</v>
      </c>
      <c r="F23" s="13">
        <v>0</v>
      </c>
      <c r="G23" s="13">
        <v>0</v>
      </c>
      <c r="H23" s="14">
        <v>0.44759526031930241</v>
      </c>
      <c r="I23" s="14">
        <v>-0.12924386876022659</v>
      </c>
    </row>
    <row r="24" spans="1:9" x14ac:dyDescent="0.35">
      <c r="A24">
        <v>202211</v>
      </c>
      <c r="B24" t="s">
        <v>81</v>
      </c>
      <c r="C24" s="13">
        <v>194253.23</v>
      </c>
      <c r="D24" s="13">
        <v>105351.25</v>
      </c>
      <c r="E24" s="13">
        <v>0</v>
      </c>
      <c r="F24" s="13">
        <v>0</v>
      </c>
      <c r="G24" s="13">
        <v>0</v>
      </c>
      <c r="H24" s="14">
        <v>0.45766024070745182</v>
      </c>
      <c r="I24" s="14">
        <v>-6.8660531410468698E-2</v>
      </c>
    </row>
    <row r="25" spans="1:9" x14ac:dyDescent="0.35">
      <c r="A25">
        <v>202212</v>
      </c>
      <c r="B25" t="s">
        <v>82</v>
      </c>
      <c r="C25" s="13">
        <v>194984.28</v>
      </c>
      <c r="D25" s="13">
        <v>102589.1</v>
      </c>
      <c r="E25" s="13">
        <v>0</v>
      </c>
      <c r="F25" s="13">
        <v>0</v>
      </c>
      <c r="G25" s="13">
        <v>0</v>
      </c>
      <c r="H25" s="14">
        <v>0.4738596362742678</v>
      </c>
      <c r="I25" s="14">
        <v>-0.28576252403527092</v>
      </c>
    </row>
    <row r="26" spans="1:9" x14ac:dyDescent="0.35">
      <c r="A26">
        <v>202301</v>
      </c>
      <c r="B26" t="s">
        <v>83</v>
      </c>
      <c r="C26" s="13">
        <v>197273.59</v>
      </c>
      <c r="D26" s="13">
        <v>111546.11</v>
      </c>
      <c r="E26" s="13">
        <v>0</v>
      </c>
      <c r="F26" s="13">
        <v>0</v>
      </c>
      <c r="G26" s="13">
        <v>0</v>
      </c>
      <c r="H26" s="14">
        <v>0.43456136221782138</v>
      </c>
      <c r="I26" s="14">
        <v>-0.1739368660549038</v>
      </c>
    </row>
    <row r="27" spans="1:9" x14ac:dyDescent="0.35">
      <c r="A27">
        <v>202302</v>
      </c>
      <c r="B27" t="s">
        <v>84</v>
      </c>
      <c r="C27" s="13">
        <v>157079.03</v>
      </c>
      <c r="D27" s="13">
        <v>91137.18</v>
      </c>
      <c r="E27" s="13">
        <v>0</v>
      </c>
      <c r="F27" s="13">
        <v>0</v>
      </c>
      <c r="G27" s="13">
        <v>0</v>
      </c>
      <c r="H27" s="14">
        <v>0.41980046604565868</v>
      </c>
      <c r="I27" s="14">
        <v>-0.14333167196155969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4.5" x14ac:dyDescent="0.35"/>
  <sheetData>
    <row r="1" spans="1:3" ht="21" x14ac:dyDescent="0.5">
      <c r="A1" s="10" t="s">
        <v>89</v>
      </c>
    </row>
    <row r="3" spans="1:3" x14ac:dyDescent="0.35">
      <c r="A3" s="4" t="s">
        <v>51</v>
      </c>
      <c r="B3" s="4" t="s">
        <v>3</v>
      </c>
      <c r="C3" s="4" t="s">
        <v>90</v>
      </c>
    </row>
    <row r="4" spans="1:3" x14ac:dyDescent="0.35">
      <c r="A4" t="s">
        <v>54</v>
      </c>
      <c r="B4" s="15">
        <v>1157392.49</v>
      </c>
      <c r="C4" s="14">
        <v>0.29868189436362652</v>
      </c>
    </row>
    <row r="5" spans="1:3" x14ac:dyDescent="0.35">
      <c r="A5" t="s">
        <v>57</v>
      </c>
      <c r="B5" s="15">
        <v>1135098.8500000001</v>
      </c>
      <c r="C5" s="14">
        <v>0.29292869768661972</v>
      </c>
    </row>
    <row r="6" spans="1:3" x14ac:dyDescent="0.35">
      <c r="A6" t="s">
        <v>60</v>
      </c>
      <c r="B6" s="15">
        <v>821505.3</v>
      </c>
      <c r="C6" s="14">
        <v>0.21200134038692381</v>
      </c>
    </row>
    <row r="7" spans="1:3" x14ac:dyDescent="0.35">
      <c r="A7" t="s">
        <v>63</v>
      </c>
      <c r="B7" s="15">
        <v>761003.86</v>
      </c>
      <c r="C7" s="14">
        <v>0.19638806756283</v>
      </c>
    </row>
    <row r="10" spans="1:3" x14ac:dyDescent="0.35">
      <c r="A10" s="4" t="s">
        <v>52</v>
      </c>
      <c r="B10" s="4" t="s">
        <v>3</v>
      </c>
      <c r="C10" s="4" t="s">
        <v>90</v>
      </c>
    </row>
    <row r="11" spans="1:3" x14ac:dyDescent="0.35">
      <c r="A11" t="s">
        <v>55</v>
      </c>
      <c r="B11" s="15">
        <v>1073220.93</v>
      </c>
      <c r="C11" s="14">
        <v>0.27696020426319939</v>
      </c>
    </row>
    <row r="12" spans="1:3" x14ac:dyDescent="0.35">
      <c r="A12" t="s">
        <v>58</v>
      </c>
      <c r="B12" s="15">
        <v>1062876.6000000001</v>
      </c>
      <c r="C12" s="14">
        <v>0.27429070009152262</v>
      </c>
    </row>
    <row r="13" spans="1:3" x14ac:dyDescent="0.35">
      <c r="A13" t="s">
        <v>61</v>
      </c>
      <c r="B13" s="15">
        <v>1025546.19</v>
      </c>
      <c r="C13" s="14">
        <v>0.26465704714102622</v>
      </c>
    </row>
    <row r="14" spans="1:3" x14ac:dyDescent="0.35">
      <c r="A14" t="s">
        <v>64</v>
      </c>
      <c r="B14" s="15">
        <v>713356.78</v>
      </c>
      <c r="C14" s="14">
        <v>0.18409204850425179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tabSelected="1" topLeftCell="A16" workbookViewId="0"/>
  </sheetViews>
  <sheetFormatPr defaultRowHeight="14.5" x14ac:dyDescent="0.35"/>
  <cols>
    <col min="1" max="1" width="100" customWidth="1"/>
  </cols>
  <sheetData>
    <row r="1" spans="1:1" ht="21" x14ac:dyDescent="0.5">
      <c r="A1" s="10" t="s">
        <v>91</v>
      </c>
    </row>
    <row r="2" spans="1:1" ht="16.5" x14ac:dyDescent="0.45">
      <c r="A2" s="16"/>
    </row>
    <row r="3" spans="1:1" ht="16.5" x14ac:dyDescent="0.45">
      <c r="A3" s="17" t="s">
        <v>92</v>
      </c>
    </row>
    <row r="4" spans="1:1" ht="16.5" x14ac:dyDescent="0.45">
      <c r="A4" s="16" t="s">
        <v>93</v>
      </c>
    </row>
    <row r="5" spans="1:1" ht="16.5" x14ac:dyDescent="0.45">
      <c r="A5" s="16" t="s">
        <v>94</v>
      </c>
    </row>
    <row r="6" spans="1:1" ht="16.5" x14ac:dyDescent="0.45">
      <c r="A6" s="16" t="s">
        <v>95</v>
      </c>
    </row>
    <row r="7" spans="1:1" ht="16.5" x14ac:dyDescent="0.45">
      <c r="A7" s="16"/>
    </row>
    <row r="8" spans="1:1" ht="16.5" x14ac:dyDescent="0.45">
      <c r="A8" s="16" t="s">
        <v>96</v>
      </c>
    </row>
    <row r="9" spans="1:1" ht="16.5" x14ac:dyDescent="0.45">
      <c r="A9" s="16" t="s">
        <v>97</v>
      </c>
    </row>
    <row r="10" spans="1:1" ht="16.5" x14ac:dyDescent="0.45">
      <c r="A10" s="17" t="s">
        <v>98</v>
      </c>
    </row>
    <row r="11" spans="1:1" ht="16.5" x14ac:dyDescent="0.45">
      <c r="A11" s="16" t="s">
        <v>99</v>
      </c>
    </row>
    <row r="12" spans="1:1" ht="16.5" x14ac:dyDescent="0.45">
      <c r="A12" s="16" t="s">
        <v>100</v>
      </c>
    </row>
    <row r="13" spans="1:1" ht="16.5" x14ac:dyDescent="0.45">
      <c r="A13" s="16" t="s">
        <v>101</v>
      </c>
    </row>
    <row r="14" spans="1:1" ht="16.5" x14ac:dyDescent="0.45">
      <c r="A14" s="16"/>
    </row>
    <row r="15" spans="1:1" ht="16.5" x14ac:dyDescent="0.45">
      <c r="A15" s="17" t="s">
        <v>102</v>
      </c>
    </row>
    <row r="16" spans="1:1" ht="16.5" x14ac:dyDescent="0.45">
      <c r="A16" s="16" t="s">
        <v>103</v>
      </c>
    </row>
    <row r="17" spans="1:1" ht="16.5" x14ac:dyDescent="0.45">
      <c r="A17" s="16" t="s">
        <v>104</v>
      </c>
    </row>
    <row r="18" spans="1:1" ht="16.5" x14ac:dyDescent="0.45">
      <c r="A18" s="16" t="s">
        <v>105</v>
      </c>
    </row>
    <row r="19" spans="1:1" ht="16.5" x14ac:dyDescent="0.45">
      <c r="A19" s="16" t="s">
        <v>106</v>
      </c>
    </row>
    <row r="20" spans="1:1" ht="16.5" x14ac:dyDescent="0.45">
      <c r="A20" s="16" t="s">
        <v>107</v>
      </c>
    </row>
    <row r="21" spans="1:1" ht="16.5" x14ac:dyDescent="0.45">
      <c r="A21" s="16"/>
    </row>
    <row r="22" spans="1:1" ht="16.5" x14ac:dyDescent="0.45">
      <c r="A22" s="17" t="s">
        <v>108</v>
      </c>
    </row>
    <row r="23" spans="1:1" ht="16.5" x14ac:dyDescent="0.45">
      <c r="A23" s="16" t="s">
        <v>109</v>
      </c>
    </row>
    <row r="24" spans="1:1" ht="16.5" x14ac:dyDescent="0.45">
      <c r="A24" s="16" t="s">
        <v>110</v>
      </c>
    </row>
    <row r="25" spans="1:1" ht="16.5" x14ac:dyDescent="0.45">
      <c r="A25" s="16" t="s">
        <v>111</v>
      </c>
    </row>
    <row r="26" spans="1:1" ht="16.5" x14ac:dyDescent="0.45">
      <c r="A26" s="16" t="s">
        <v>112</v>
      </c>
    </row>
    <row r="27" spans="1:1" ht="16.5" x14ac:dyDescent="0.45">
      <c r="A27" s="16"/>
    </row>
    <row r="28" spans="1:1" ht="16.5" x14ac:dyDescent="0.45">
      <c r="A28" s="17" t="s">
        <v>113</v>
      </c>
    </row>
    <row r="29" spans="1:1" ht="16.5" x14ac:dyDescent="0.45">
      <c r="A29" s="16" t="s">
        <v>114</v>
      </c>
    </row>
    <row r="30" spans="1:1" ht="16.5" x14ac:dyDescent="0.45">
      <c r="A30" s="16" t="s">
        <v>115</v>
      </c>
    </row>
    <row r="31" spans="1:1" ht="16.5" x14ac:dyDescent="0.45">
      <c r="A31" s="16" t="s">
        <v>116</v>
      </c>
    </row>
    <row r="32" spans="1:1" ht="16.5" x14ac:dyDescent="0.45">
      <c r="A32" s="16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Executive_Dashboard</vt:lpstr>
      <vt:lpstr>ChartData</vt:lpstr>
      <vt:lpstr>Income_Statement</vt:lpstr>
      <vt:lpstr>Monthly_Trends</vt:lpstr>
      <vt:lpstr>Regional_Dept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Toheeb Abdulwaheed</cp:lastModifiedBy>
  <dcterms:created xsi:type="dcterms:W3CDTF">2026-10-02T08:00:40Z</dcterms:created>
  <dcterms:modified xsi:type="dcterms:W3CDTF">2026-10-02T08:13:36Z</dcterms:modified>
</cp:coreProperties>
</file>